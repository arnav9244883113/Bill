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0" documentId="13_ncr:1_{ABD44F19-ABC5-49EB-97EB-234838D63E04}" xr6:coauthVersionLast="47" xr6:coauthVersionMax="47" xr10:uidLastSave="{00000000-0000-0000-0000-000000000000}"/>
  <bookViews>
    <workbookView xWindow="-120" yWindow="-120" windowWidth="19440" windowHeight="15150" tabRatio="500" xr2:uid="{00000000-000D-0000-FFFF-FFFF00000000}"/>
  </bookViews>
  <sheets>
    <sheet name="Invoice 127" sheetId="1" r:id="rId1"/>
    <sheet name="Words" sheetId="2" r:id="rId2"/>
  </sheets>
  <definedNames>
    <definedName name="_xlnm.Print_Area" localSheetId="0">'Invoice 127'!$A$1:$G$42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9" i="1" l="1"/>
  <c r="D25" i="1"/>
  <c r="G16" i="1"/>
  <c r="G25" i="1" s="1"/>
  <c r="E2" i="2" l="1"/>
  <c r="G29" i="1"/>
  <c r="G30" i="1" s="1"/>
  <c r="E3" i="2" l="1"/>
  <c r="E4" i="2" s="1"/>
  <c r="E5" i="2" l="1"/>
  <c r="E6" i="2"/>
  <c r="E7" i="2"/>
  <c r="E8" i="2"/>
  <c r="E9" i="2"/>
  <c r="E10" i="2"/>
  <c r="E11" i="2" s="1"/>
  <c r="A27" i="1" s="1"/>
</calcChain>
</file>

<file path=xl/sharedStrings.xml><?xml version="1.0" encoding="utf-8"?>
<sst xmlns="http://schemas.openxmlformats.org/spreadsheetml/2006/main" count="157" uniqueCount="154">
  <si>
    <t>Bill of Supply</t>
  </si>
  <si>
    <t>Shri Ram Pashu Aahar</t>
  </si>
  <si>
    <t>Invoice No.</t>
  </si>
  <si>
    <t>Dated</t>
  </si>
  <si>
    <t>Subhash Ganj Dabra</t>
  </si>
  <si>
    <t>GSTIN/UIN: 23AFYPG9821J1ZX</t>
  </si>
  <si>
    <t>Delivery Note</t>
  </si>
  <si>
    <t>Mode/Terms of Payment</t>
  </si>
  <si>
    <t>State Name :  Madhya Pradesh</t>
  </si>
  <si>
    <t>Supplier's Ref.</t>
  </si>
  <si>
    <t>Other Reference(s)</t>
  </si>
  <si>
    <t>Buyer's Order No.</t>
  </si>
  <si>
    <t>Despatch Document No.</t>
  </si>
  <si>
    <t>Delivery Note Date</t>
  </si>
  <si>
    <t>Buyer</t>
  </si>
  <si>
    <t>Despatched through</t>
  </si>
  <si>
    <t>Destination</t>
  </si>
  <si>
    <t>Terms of Delivery</t>
  </si>
  <si>
    <t xml:space="preserve">State Name : </t>
  </si>
  <si>
    <t>Sl
No.</t>
  </si>
  <si>
    <t>Description of Goods</t>
  </si>
  <si>
    <t>HSN/SAC</t>
  </si>
  <si>
    <t>Quantity</t>
  </si>
  <si>
    <t>Rate</t>
  </si>
  <si>
    <t>per</t>
  </si>
  <si>
    <t>Amount</t>
  </si>
  <si>
    <t>kg</t>
  </si>
  <si>
    <t>Total</t>
  </si>
  <si>
    <t>Amount Chargeable (in words)</t>
  </si>
  <si>
    <t>E. &amp; O.E</t>
  </si>
  <si>
    <t>Taxable
Value</t>
  </si>
  <si>
    <t>Tax Amount (in words) :</t>
  </si>
  <si>
    <t>NIL</t>
  </si>
  <si>
    <t>Declaration</t>
  </si>
  <si>
    <t>for Shri Ram Pashu Aahar</t>
  </si>
  <si>
    <t>We declare that this invoice shows the actual price of the goods described and that all particulars are true and correct.</t>
  </si>
  <si>
    <t>Authorised Signatory</t>
  </si>
  <si>
    <t>This is a Computer Generated Invoice</t>
  </si>
  <si>
    <t>Number</t>
  </si>
  <si>
    <t>Words</t>
  </si>
  <si>
    <t>Helper (auto - do not edit)</t>
  </si>
  <si>
    <t>Value</t>
  </si>
  <si>
    <t>Zero</t>
  </si>
  <si>
    <t>Total amount</t>
  </si>
  <si>
    <t>One</t>
  </si>
  <si>
    <t>Rupees</t>
  </si>
  <si>
    <t>Two</t>
  </si>
  <si>
    <t>Paise</t>
  </si>
  <si>
    <t>Three</t>
  </si>
  <si>
    <t>Crore</t>
  </si>
  <si>
    <t>Four</t>
  </si>
  <si>
    <t>Lakh</t>
  </si>
  <si>
    <t>Five</t>
  </si>
  <si>
    <t>Thousand</t>
  </si>
  <si>
    <t>Six</t>
  </si>
  <si>
    <t>Hundred</t>
  </si>
  <si>
    <t>Seven</t>
  </si>
  <si>
    <t>Last two digits</t>
  </si>
  <si>
    <t>Eight</t>
  </si>
  <si>
    <t>Rupees in words</t>
  </si>
  <si>
    <t>Nine</t>
  </si>
  <si>
    <t>Final text</t>
  </si>
  <si>
    <t>Ten</t>
  </si>
  <si>
    <t>Eleven</t>
  </si>
  <si>
    <t>Works for amounts up to 99 crore.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</si>
  <si>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</si>
  <si>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</si>
  <si>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</si>
  <si>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</si>
  <si>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</si>
  <si>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</si>
  <si>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</si>
  <si>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</si>
  <si>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</si>
  <si>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</si>
  <si>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</si>
  <si>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</si>
  <si>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</si>
  <si>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</si>
  <si>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</si>
  <si>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</si>
  <si>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</si>
  <si>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</si>
  <si>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</si>
  <si>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</si>
  <si>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</si>
  <si>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</si>
  <si>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</si>
  <si>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</si>
  <si>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</si>
  <si>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</si>
  <si>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</si>
  <si>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</si>
  <si>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</si>
  <si>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</si>
  <si>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</si>
  <si>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</si>
  <si>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</si>
  <si>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</si>
  <si>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</si>
  <si>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</si>
  <si>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</si>
  <si>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</si>
  <si>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</si>
  <si>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</si>
  <si>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</si>
  <si>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</si>
  <si>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</si>
  <si>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</si>
  <si>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</si>
  <si>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</si>
  <si>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</si>
  <si>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</si>
  <si>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</si>
  <si>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</si>
  <si>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</si>
  <si>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</si>
  <si>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</si>
  <si>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</si>
  <si>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</si>
  <si>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</si>
  <si>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</si>
  <si>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</si>
  <si>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</si>
  <si>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</si>
  <si>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</si>
  <si>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</si>
  <si>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</si>
  <si>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</si>
  <si>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</si>
  <si>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</si>
  <si>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</si>
  <si>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</si>
  <si>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</si>
  <si>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</si>
  <si>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</si>
  <si>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</si>
  <si>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</si>
  <si>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</si>
  <si>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</si>
  <si>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</si>
  <si>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</si>
  <si>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</si>
  <si>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</si>
  <si>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</si>
  <si>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</si>
  <si>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</si>
  <si>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</si>
  <si>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</si>
  <si>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</si>
  <si>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</si>
  <si>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</si>
  <si>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</si>
  <si>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City/Village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</si>
</sst>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kg&quot;"/>
    <numFmt numFmtId="165" formatCode="&quot;₹ &quot;#,##0.00"/>
  </numFmts>
  <fonts count="13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sz val="7"/>
      <name val="Arial"/>
      <charset val="1"/>
    </font>
    <font>
      <b/>
      <sz val="11"/>
      <name val="Arial"/>
      <charset val="1"/>
    </font>
    <font>
      <sz val="8"/>
      <name val="Arial"/>
      <charset val="1"/>
    </font>
    <font>
      <i/>
      <sz val="8"/>
      <name val="Arial"/>
      <charset val="1"/>
    </font>
    <font>
      <u/>
      <sz val="8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5" xfId="0" applyBorder="1"/>
    <xf numFmtId="0" fontId="4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/>
    <xf numFmtId="0" fontId="3" fillId="0" borderId="1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4" fontId="4" fillId="0" borderId="8" xfId="0" applyNumberFormat="1" applyFont="1" applyBorder="1" applyAlignment="1">
      <alignment horizontal="right" vertical="top"/>
    </xf>
    <xf numFmtId="0" fontId="4" fillId="0" borderId="8" xfId="0" applyFont="1" applyBorder="1" applyAlignment="1">
      <alignment horizontal="center" vertical="top"/>
    </xf>
    <xf numFmtId="4" fontId="2" fillId="0" borderId="8" xfId="0" applyNumberFormat="1" applyFont="1" applyBorder="1" applyAlignment="1">
      <alignment horizontal="right" vertical="top"/>
    </xf>
    <xf numFmtId="0" fontId="0" fillId="0" borderId="8" xfId="0" applyBorder="1"/>
    <xf numFmtId="0" fontId="0" fillId="0" borderId="9" xfId="0" applyBorder="1"/>
    <xf numFmtId="0" fontId="4" fillId="0" borderId="9" xfId="0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5" fontId="7" fillId="0" borderId="9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5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10" xfId="0" applyBorder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top"/>
    </xf>
    <xf numFmtId="0" fontId="5" fillId="0" borderId="3" xfId="0" applyFont="1" applyBorder="1" applyAlignment="1">
      <alignment horizontal="right" vertical="top"/>
    </xf>
    <xf numFmtId="0" fontId="8" fillId="0" borderId="1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/>
    </xf>
    <xf numFmtId="0" fontId="2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5" xfId="0" applyBorder="1"/>
    <xf numFmtId="0" fontId="2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zoomScaleNormal="100" workbookViewId="0">
      <selection activeCell="E16" sqref="E16"/>
    </sheetView>
  </sheetViews>
  <sheetFormatPr defaultColWidth="8.7109375" defaultRowHeight="15" x14ac:dyDescent="0.25"/>
  <cols>
    <col min="1" max="1" width="4.42578125" customWidth="1"/>
    <col min="2" max="2" width="36" customWidth="1"/>
    <col min="3" max="3" width="11" customWidth="1"/>
    <col min="4" max="4" width="14" customWidth="1"/>
    <col min="5" max="5" width="12" customWidth="1"/>
    <col min="6" max="6" width="7" customWidth="1"/>
    <col min="7" max="7" width="17" customWidth="1"/>
  </cols>
  <sheetData>
    <row r="1" spans="1:7" ht="25.5" customHeight="1" x14ac:dyDescent="0.25">
      <c r="A1" s="44" t="s">
        <v>0</v>
      </c>
      <c r="B1" s="44"/>
      <c r="C1" s="44"/>
      <c r="D1" s="44"/>
      <c r="E1" s="44"/>
      <c r="F1" s="44"/>
      <c r="G1" s="44"/>
    </row>
    <row r="2" spans="1:7" ht="15" customHeight="1" x14ac:dyDescent="0.25">
      <c r="A2" s="3" t="s">
        <v>1</v>
      </c>
      <c r="B2" s="4"/>
      <c r="C2" s="4"/>
      <c r="D2" s="45" t="s">
        <v>2</v>
      </c>
      <c r="E2" s="45"/>
      <c r="F2" s="46" t="s">
        <v>3</v>
      </c>
      <c r="G2" s="46"/>
    </row>
    <row r="3" spans="1:7" ht="15" customHeight="1" x14ac:dyDescent="0.25">
      <c r="A3" s="2" t="s">
        <v>4</v>
      </c>
      <c r="D3" s="47"/>
      <c r="E3" s="47"/>
      <c r="F3" s="48"/>
      <c r="G3" s="48"/>
    </row>
    <row r="4" spans="1:7" ht="21.75" customHeight="1" x14ac:dyDescent="0.25">
      <c r="A4" s="2" t="s">
        <v>5</v>
      </c>
      <c r="D4" s="42" t="s">
        <v>6</v>
      </c>
      <c r="E4" s="42"/>
      <c r="F4" s="43" t="s">
        <v>7</v>
      </c>
      <c r="G4" s="43"/>
    </row>
    <row r="5" spans="1:7" ht="21.75" customHeight="1" x14ac:dyDescent="0.25">
      <c r="A5" s="28" t="s">
        <v>8</v>
      </c>
      <c r="B5" s="28"/>
      <c r="D5" s="42" t="s">
        <v>9</v>
      </c>
      <c r="E5" s="42"/>
      <c r="F5" s="43" t="s">
        <v>10</v>
      </c>
      <c r="G5" s="43"/>
    </row>
    <row r="6" spans="1:7" ht="21.75" customHeight="1" x14ac:dyDescent="0.25">
      <c r="A6" s="1"/>
      <c r="D6" s="42" t="s">
        <v>11</v>
      </c>
      <c r="E6" s="42"/>
      <c r="F6" s="43" t="s">
        <v>3</v>
      </c>
      <c r="G6" s="43"/>
    </row>
    <row r="7" spans="1:7" ht="21.75" customHeight="1" x14ac:dyDescent="0.25">
      <c r="A7" s="1"/>
      <c r="D7" s="42" t="s">
        <v>12</v>
      </c>
      <c r="E7" s="42"/>
      <c r="F7" s="43" t="s">
        <v>13</v>
      </c>
      <c r="G7" s="43"/>
    </row>
    <row r="8" spans="1:7" ht="21.75" customHeight="1" x14ac:dyDescent="0.25">
      <c r="A8" s="5" t="s">
        <v>14</v>
      </c>
      <c r="B8" s="4"/>
      <c r="C8" s="4"/>
      <c r="D8" s="42" t="s">
        <v>15</v>
      </c>
      <c r="E8" s="42"/>
      <c r="F8" s="43" t="s">
        <v>16</v>
      </c>
      <c r="G8" s="43"/>
    </row>
    <row r="9" spans="1:7" ht="15" customHeight="1" x14ac:dyDescent="0.25">
      <c r="A9" s="38"/>
      <c r="B9" s="38"/>
      <c r="D9" s="39" t="s">
        <v>17</v>
      </c>
      <c r="E9" s="39"/>
      <c r="F9" s="39"/>
      <c r="G9" s="39"/>
    </row>
    <row r="10" spans="1:7" ht="15" customHeight="1" x14ac:dyDescent="0.25">
      <c r="A10" s="40" t="s">
        <v>153</v>
      </c>
      <c r="B10" s="40"/>
      <c r="D10" s="39"/>
      <c r="E10" s="39"/>
      <c r="F10" s="39"/>
      <c r="G10" s="39"/>
    </row>
    <row r="11" spans="1:7" x14ac:dyDescent="0.25">
      <c r="A11" s="28" t="s">
        <v>18</v>
      </c>
      <c r="B11" s="29"/>
      <c r="D11" s="39"/>
      <c r="E11" s="39"/>
      <c r="F11" s="39"/>
      <c r="G11" s="39"/>
    </row>
    <row r="12" spans="1:7" ht="15" customHeight="1" x14ac:dyDescent="0.25">
      <c r="A12" s="1"/>
      <c r="D12" s="39"/>
      <c r="E12" s="39"/>
      <c r="F12" s="39"/>
      <c r="G12" s="39"/>
    </row>
    <row r="13" spans="1:7" ht="15" customHeight="1" x14ac:dyDescent="0.25">
      <c r="A13" s="1"/>
      <c r="D13" s="39"/>
      <c r="E13" s="39"/>
      <c r="F13" s="39"/>
      <c r="G13" s="39"/>
    </row>
    <row r="14" spans="1:7" ht="15" customHeight="1" x14ac:dyDescent="0.25">
      <c r="A14" s="1"/>
      <c r="D14" s="39"/>
      <c r="E14" s="39"/>
      <c r="F14" s="39"/>
      <c r="G14" s="39"/>
    </row>
    <row r="15" spans="1:7" ht="30" customHeight="1" x14ac:dyDescent="0.25">
      <c r="A15" s="6" t="s">
        <v>19</v>
      </c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  <c r="G15" s="7" t="s">
        <v>25</v>
      </c>
    </row>
    <row r="16" spans="1:7" ht="18" customHeight="1" x14ac:dyDescent="0.25">
      <c r="A16" s="8"/>
      <c r="B16" s="9"/>
      <c r="C16" s="8"/>
      <c r="D16" s="10"/>
      <c r="E16" s="11"/>
      <c r="F16" s="12" t="s">
        <v>26</v>
      </c>
      <c r="G16" s="13">
        <f>D16*E16</f>
        <v>0</v>
      </c>
    </row>
    <row r="17" spans="1:7" ht="18" customHeight="1" x14ac:dyDescent="0.25">
      <c r="A17" s="14"/>
      <c r="B17" s="14"/>
      <c r="C17" s="14"/>
      <c r="D17" s="14"/>
      <c r="E17" s="14"/>
      <c r="F17" s="14"/>
      <c r="G17" s="14"/>
    </row>
    <row r="18" spans="1:7" ht="18" customHeight="1" x14ac:dyDescent="0.25">
      <c r="A18" s="14"/>
      <c r="B18" s="14"/>
      <c r="C18" s="14"/>
      <c r="D18" s="14"/>
      <c r="E18" s="14"/>
      <c r="F18" s="14"/>
      <c r="G18" s="14"/>
    </row>
    <row r="19" spans="1:7" ht="18" customHeight="1" x14ac:dyDescent="0.25">
      <c r="A19" s="14"/>
      <c r="B19" s="14"/>
      <c r="C19" s="14"/>
      <c r="D19" s="14"/>
      <c r="E19" s="14"/>
      <c r="F19" s="14"/>
      <c r="G19" s="14"/>
    </row>
    <row r="20" spans="1:7" ht="18" customHeight="1" x14ac:dyDescent="0.25">
      <c r="A20" s="14"/>
      <c r="B20" s="14"/>
      <c r="C20" s="14"/>
      <c r="D20" s="14"/>
      <c r="E20" s="14"/>
      <c r="F20" s="14"/>
      <c r="G20" s="14"/>
    </row>
    <row r="21" spans="1:7" ht="18" customHeight="1" x14ac:dyDescent="0.25">
      <c r="A21" s="14"/>
      <c r="B21" s="14"/>
      <c r="C21" s="14"/>
      <c r="D21" s="14"/>
      <c r="E21" s="14"/>
      <c r="F21" s="14"/>
      <c r="G21" s="14"/>
    </row>
    <row r="22" spans="1:7" ht="18" customHeight="1" x14ac:dyDescent="0.25">
      <c r="A22" s="14"/>
      <c r="B22" s="14"/>
      <c r="C22" s="14"/>
      <c r="D22" s="14"/>
      <c r="E22" s="14"/>
      <c r="F22" s="14"/>
      <c r="G22" s="14"/>
    </row>
    <row r="23" spans="1:7" ht="18" customHeight="1" x14ac:dyDescent="0.25">
      <c r="A23" s="14"/>
      <c r="B23" s="14"/>
      <c r="C23" s="14"/>
      <c r="D23" s="14"/>
      <c r="E23" s="14"/>
      <c r="F23" s="14"/>
      <c r="G23" s="14"/>
    </row>
    <row r="24" spans="1:7" ht="18" customHeight="1" x14ac:dyDescent="0.25">
      <c r="A24" s="14"/>
      <c r="B24" s="14"/>
      <c r="C24" s="14"/>
      <c r="D24" s="14"/>
      <c r="E24" s="14"/>
      <c r="F24" s="14"/>
      <c r="G24" s="14"/>
    </row>
    <row r="25" spans="1:7" ht="19.5" customHeight="1" x14ac:dyDescent="0.25">
      <c r="A25" s="15"/>
      <c r="B25" s="16" t="s">
        <v>27</v>
      </c>
      <c r="C25" s="15"/>
      <c r="D25" s="17">
        <f>SUM(D16:D24)</f>
        <v>0</v>
      </c>
      <c r="E25" s="15"/>
      <c r="F25" s="15"/>
      <c r="G25" s="18">
        <f>SUM(G16:G24)</f>
        <v>0</v>
      </c>
    </row>
    <row r="26" spans="1:7" ht="15.75" customHeight="1" x14ac:dyDescent="0.25">
      <c r="A26" s="33" t="s">
        <v>28</v>
      </c>
      <c r="B26" s="33"/>
      <c r="C26" s="33"/>
      <c r="D26" s="33"/>
      <c r="E26" s="33"/>
      <c r="F26" s="33"/>
      <c r="G26" s="19" t="s">
        <v>29</v>
      </c>
    </row>
    <row r="27" spans="1:7" ht="19.5" customHeight="1" x14ac:dyDescent="0.25">
      <c r="A27" s="41" t="str">
        <f>Words!E11</f>
        <v/>
      </c>
      <c r="B27" s="41"/>
      <c r="C27" s="41"/>
      <c r="D27" s="41"/>
      <c r="E27" s="41"/>
      <c r="F27" s="41"/>
      <c r="G27" s="41"/>
    </row>
    <row r="28" spans="1:7" ht="30" customHeight="1" x14ac:dyDescent="0.25">
      <c r="A28" s="30" t="s">
        <v>21</v>
      </c>
      <c r="B28" s="30"/>
      <c r="C28" s="30"/>
      <c r="D28" s="30"/>
      <c r="E28" s="30"/>
      <c r="F28" s="30"/>
      <c r="G28" s="7" t="s">
        <v>30</v>
      </c>
    </row>
    <row r="29" spans="1:7" ht="15.75" customHeight="1" x14ac:dyDescent="0.25">
      <c r="A29" s="31" t="str">
        <f>IF(C16="","",C16)</f>
        <v/>
      </c>
      <c r="B29" s="31"/>
      <c r="C29" s="31"/>
      <c r="D29" s="31"/>
      <c r="E29" s="31"/>
      <c r="F29" s="31"/>
      <c r="G29" s="20">
        <f>G25</f>
        <v>0</v>
      </c>
    </row>
    <row r="30" spans="1:7" ht="15.75" customHeight="1" x14ac:dyDescent="0.25">
      <c r="A30" s="32" t="s">
        <v>27</v>
      </c>
      <c r="B30" s="32"/>
      <c r="C30" s="32"/>
      <c r="D30" s="32"/>
      <c r="E30" s="32"/>
      <c r="F30" s="32"/>
      <c r="G30" s="21">
        <f>G29</f>
        <v>0</v>
      </c>
    </row>
    <row r="31" spans="1:7" ht="19.5" customHeight="1" x14ac:dyDescent="0.25">
      <c r="A31" s="33" t="s">
        <v>31</v>
      </c>
      <c r="B31" s="33"/>
      <c r="C31" s="22" t="s">
        <v>32</v>
      </c>
      <c r="G31" s="23"/>
    </row>
    <row r="32" spans="1:7" ht="15.75" customHeight="1" x14ac:dyDescent="0.25">
      <c r="A32" s="1"/>
      <c r="G32" s="23"/>
    </row>
    <row r="33" spans="1:7" ht="15.75" customHeight="1" x14ac:dyDescent="0.25">
      <c r="A33" s="1"/>
      <c r="G33" s="23"/>
    </row>
    <row r="34" spans="1:7" ht="15.75" customHeight="1" x14ac:dyDescent="0.25">
      <c r="A34" s="1"/>
      <c r="G34" s="23"/>
    </row>
    <row r="35" spans="1:7" ht="15.75" customHeight="1" x14ac:dyDescent="0.25">
      <c r="A35" s="1"/>
      <c r="G35" s="23"/>
    </row>
    <row r="36" spans="1:7" ht="15.75" customHeight="1" x14ac:dyDescent="0.25">
      <c r="A36" s="1"/>
      <c r="G36" s="23"/>
    </row>
    <row r="37" spans="1:7" ht="13.5" customHeight="1" x14ac:dyDescent="0.25">
      <c r="A37" s="34" t="s">
        <v>33</v>
      </c>
      <c r="B37" s="34"/>
      <c r="C37" s="34"/>
      <c r="D37" s="35" t="s">
        <v>34</v>
      </c>
      <c r="E37" s="35"/>
      <c r="F37" s="35"/>
      <c r="G37" s="35"/>
    </row>
    <row r="38" spans="1:7" ht="13.5" customHeight="1" x14ac:dyDescent="0.25">
      <c r="A38" s="36" t="s">
        <v>35</v>
      </c>
      <c r="B38" s="36"/>
      <c r="C38" s="36"/>
      <c r="D38" s="35"/>
      <c r="E38" s="35"/>
      <c r="F38" s="35"/>
      <c r="G38" s="35"/>
    </row>
    <row r="39" spans="1:7" ht="13.5" customHeight="1" x14ac:dyDescent="0.25">
      <c r="A39" s="36"/>
      <c r="B39" s="36"/>
      <c r="C39" s="36"/>
      <c r="D39" s="1"/>
      <c r="G39" s="23"/>
    </row>
    <row r="40" spans="1:7" ht="13.5" customHeight="1" x14ac:dyDescent="0.25">
      <c r="A40" s="36"/>
      <c r="B40" s="36"/>
      <c r="C40" s="36"/>
      <c r="D40" s="37" t="s">
        <v>36</v>
      </c>
      <c r="E40" s="37"/>
      <c r="F40" s="37"/>
      <c r="G40" s="37"/>
    </row>
    <row r="42" spans="1:7" x14ac:dyDescent="0.25">
      <c r="A42" s="27" t="s">
        <v>37</v>
      </c>
      <c r="B42" s="27"/>
      <c r="C42" s="27"/>
      <c r="D42" s="27"/>
      <c r="E42" s="27"/>
      <c r="F42" s="27"/>
      <c r="G42" s="27"/>
    </row>
  </sheetData>
  <mergeCells count="31">
    <mergeCell ref="A1:G1"/>
    <mergeCell ref="D2:E2"/>
    <mergeCell ref="F2:G2"/>
    <mergeCell ref="D3:E3"/>
    <mergeCell ref="F3:G3"/>
    <mergeCell ref="D4:E4"/>
    <mergeCell ref="F4:G4"/>
    <mergeCell ref="A5:B5"/>
    <mergeCell ref="D5:E5"/>
    <mergeCell ref="F5:G5"/>
    <mergeCell ref="D6:E6"/>
    <mergeCell ref="F6:G6"/>
    <mergeCell ref="D7:E7"/>
    <mergeCell ref="F7:G7"/>
    <mergeCell ref="D8:E8"/>
    <mergeCell ref="F8:G8"/>
    <mergeCell ref="A9:B9"/>
    <mergeCell ref="D9:G14"/>
    <mergeCell ref="A10:B10"/>
    <mergeCell ref="A26:F26"/>
    <mergeCell ref="A27:G27"/>
    <mergeCell ref="A42:G42"/>
    <mergeCell ref="A11:B11"/>
    <mergeCell ref="A28:F28"/>
    <mergeCell ref="A29:F29"/>
    <mergeCell ref="A30:F30"/>
    <mergeCell ref="A31:B31"/>
    <mergeCell ref="A37:C37"/>
    <mergeCell ref="D37:G38"/>
    <mergeCell ref="A38:C40"/>
    <mergeCell ref="D40:G40"/>
  </mergeCells>
  <pageMargins left="0.5" right="0.5" top="1" bottom="1" header="0.511811023622047" footer="0.511811023622047"/>
  <pageSetup paperSize="9" scale="9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18" customWidth="1"/>
    <col min="4" max="4" width="28" customWidth="1"/>
    <col min="5" max="5" width="60" customWidth="1"/>
  </cols>
  <sheetData>
    <row r="1" spans="1:5" x14ac:dyDescent="0.25">
      <c r="A1" s="24" t="s">
        <v>38</v>
      </c>
      <c r="B1" s="24" t="s">
        <v>39</v>
      </c>
      <c r="D1" s="24" t="s">
        <v>40</v>
      </c>
      <c r="E1" s="24" t="s">
        <v>41</v>
      </c>
    </row>
    <row r="2" spans="1:5" x14ac:dyDescent="0.25">
      <c r="A2" s="25">
        <v>0</v>
      </c>
      <c r="B2" s="25" t="s">
        <v>42</v>
      </c>
      <c r="D2" s="25" t="s">
        <v>43</v>
      </c>
      <c r="E2" s="25">
        <f>ROUND('Invoice 127'!G25,2)</f>
        <v>0</v>
      </c>
    </row>
    <row r="3" spans="1:5" x14ac:dyDescent="0.25">
      <c r="A3" s="25">
        <v>1</v>
      </c>
      <c r="B3" s="25" t="s">
        <v>44</v>
      </c>
      <c r="D3" s="25" t="s">
        <v>45</v>
      </c>
      <c r="E3" s="25">
        <f>INT(E2)</f>
        <v>0</v>
      </c>
    </row>
    <row r="4" spans="1:5" x14ac:dyDescent="0.25">
      <c r="A4" s="25">
        <v>2</v>
      </c>
      <c r="B4" s="25" t="s">
        <v>46</v>
      </c>
      <c r="D4" s="25" t="s">
        <v>47</v>
      </c>
      <c r="E4" s="25">
        <f>ROUND((E2-E3)*100,0)</f>
        <v>0</v>
      </c>
    </row>
    <row r="5" spans="1:5" x14ac:dyDescent="0.25">
      <c r="A5" s="25">
        <v>3</v>
      </c>
      <c r="B5" s="25" t="s">
        <v>48</v>
      </c>
      <c r="D5" s="25" t="s">
        <v>49</v>
      </c>
      <c r="E5" s="25">
        <f>INT(E3/10000000)</f>
        <v>0</v>
      </c>
    </row>
    <row r="6" spans="1:5" x14ac:dyDescent="0.25">
      <c r="A6" s="25">
        <v>4</v>
      </c>
      <c r="B6" s="25" t="s">
        <v>50</v>
      </c>
      <c r="D6" s="25" t="s">
        <v>51</v>
      </c>
      <c r="E6" s="25">
        <f>INT(MOD(E3,10000000)/100000)</f>
        <v>0</v>
      </c>
    </row>
    <row r="7" spans="1:5" x14ac:dyDescent="0.25">
      <c r="A7" s="25">
        <v>5</v>
      </c>
      <c r="B7" s="25" t="s">
        <v>52</v>
      </c>
      <c r="D7" s="25" t="s">
        <v>53</v>
      </c>
      <c r="E7" s="25">
        <f>INT(MOD(E3,100000)/1000)</f>
        <v>0</v>
      </c>
    </row>
    <row r="8" spans="1:5" x14ac:dyDescent="0.25">
      <c r="A8" s="25">
        <v>6</v>
      </c>
      <c r="B8" s="25" t="s">
        <v>54</v>
      </c>
      <c r="D8" s="25" t="s">
        <v>55</v>
      </c>
      <c r="E8" s="25">
        <f>INT(MOD(E3,1000)/100)</f>
        <v>0</v>
      </c>
    </row>
    <row r="9" spans="1:5" x14ac:dyDescent="0.25">
      <c r="A9" s="25">
        <v>7</v>
      </c>
      <c r="B9" s="25" t="s">
        <v>56</v>
      </c>
      <c r="D9" s="25" t="s">
        <v>57</v>
      </c>
      <c r="E9" s="25">
        <f>MOD(E3,100)</f>
        <v>0</v>
      </c>
    </row>
    <row r="10" spans="1:5" x14ac:dyDescent="0.25">
      <c r="A10" s="25">
        <v>8</v>
      </c>
      <c r="B10" s="25" t="s">
        <v>58</v>
      </c>
      <c r="D10" s="25" t="s">
        <v>59</v>
      </c>
      <c r="E10" s="25" t="str">
        <f>IF(E3=0,"Zero",TRIM(IF(E5&gt;0,INDEX($B$2:$B$101,E5+1)&amp;" Crore ","")&amp;IF(E6&gt;0,INDEX($B$2:$B$101,E6+1)&amp;" Lakh ","")&amp;IF(E7&gt;0,INDEX($B$2:$B$101,E7+1)&amp;" Thousand ","")&amp;IF(E8&gt;0,INDEX($B$2:$B$101,E8+1)&amp;" Hundred ","")&amp;IF(E9&gt;0,INDEX($B$2:$B$101,E9+1),"")))</f>
        <v>Zero</v>
      </c>
    </row>
    <row r="11" spans="1:5" x14ac:dyDescent="0.25">
      <c r="A11" s="25">
        <v>9</v>
      </c>
      <c r="B11" s="25" t="s">
        <v>60</v>
      </c>
      <c r="D11" s="25" t="s">
        <v>61</v>
      </c>
      <c r="E11" s="25" t="str">
        <f>IF(E2&lt;=0,"","INR "&amp;E10&amp;IF(E4&gt;0," and "&amp;INDEX($B$2:$B$101,E4+1)&amp;" Paise","")&amp;" Only")</f>
        <v/>
      </c>
    </row>
    <row r="12" spans="1:5" x14ac:dyDescent="0.25">
      <c r="A12" s="25">
        <v>10</v>
      </c>
      <c r="B12" s="25" t="s">
        <v>62</v>
      </c>
    </row>
    <row r="13" spans="1:5" x14ac:dyDescent="0.25">
      <c r="A13" s="25">
        <v>11</v>
      </c>
      <c r="B13" s="25" t="s">
        <v>63</v>
      </c>
      <c r="D13" s="26" t="s">
        <v>64</v>
      </c>
    </row>
    <row r="14" spans="1:5" x14ac:dyDescent="0.25">
      <c r="A14" s="25">
        <v>12</v>
      </c>
      <c r="B14" s="25" t="s">
        <v>65</v>
      </c>
    </row>
    <row r="15" spans="1:5" x14ac:dyDescent="0.25">
      <c r="A15" s="25">
        <v>13</v>
      </c>
      <c r="B15" s="25" t="s">
        <v>66</v>
      </c>
    </row>
    <row r="16" spans="1:5" x14ac:dyDescent="0.25">
      <c r="A16" s="25">
        <v>14</v>
      </c>
      <c r="B16" s="25" t="s">
        <v>67</v>
      </c>
    </row>
    <row r="17" spans="1:2" x14ac:dyDescent="0.25">
      <c r="A17" s="25">
        <v>15</v>
      </c>
      <c r="B17" s="25" t="s">
        <v>68</v>
      </c>
    </row>
    <row r="18" spans="1:2" x14ac:dyDescent="0.25">
      <c r="A18" s="25">
        <v>16</v>
      </c>
      <c r="B18" s="25" t="s">
        <v>69</v>
      </c>
    </row>
    <row r="19" spans="1:2" x14ac:dyDescent="0.25">
      <c r="A19" s="25">
        <v>17</v>
      </c>
      <c r="B19" s="25" t="s">
        <v>70</v>
      </c>
    </row>
    <row r="20" spans="1:2" x14ac:dyDescent="0.25">
      <c r="A20" s="25">
        <v>18</v>
      </c>
      <c r="B20" s="25" t="s">
        <v>71</v>
      </c>
    </row>
    <row r="21" spans="1:2" x14ac:dyDescent="0.25">
      <c r="A21" s="25">
        <v>19</v>
      </c>
      <c r="B21" s="25" t="s">
        <v>72</v>
      </c>
    </row>
    <row r="22" spans="1:2" x14ac:dyDescent="0.25">
      <c r="A22" s="25">
        <v>20</v>
      </c>
      <c r="B22" s="25" t="s">
        <v>73</v>
      </c>
    </row>
    <row r="23" spans="1:2" x14ac:dyDescent="0.25">
      <c r="A23" s="25">
        <v>21</v>
      </c>
      <c r="B23" s="25" t="s">
        <v>74</v>
      </c>
    </row>
    <row r="24" spans="1:2" x14ac:dyDescent="0.25">
      <c r="A24" s="25">
        <v>22</v>
      </c>
      <c r="B24" s="25" t="s">
        <v>75</v>
      </c>
    </row>
    <row r="25" spans="1:2" x14ac:dyDescent="0.25">
      <c r="A25" s="25">
        <v>23</v>
      </c>
      <c r="B25" s="25" t="s">
        <v>76</v>
      </c>
    </row>
    <row r="26" spans="1:2" x14ac:dyDescent="0.25">
      <c r="A26" s="25">
        <v>24</v>
      </c>
      <c r="B26" s="25" t="s">
        <v>77</v>
      </c>
    </row>
    <row r="27" spans="1:2" x14ac:dyDescent="0.25">
      <c r="A27" s="25">
        <v>25</v>
      </c>
      <c r="B27" s="25" t="s">
        <v>78</v>
      </c>
    </row>
    <row r="28" spans="1:2" x14ac:dyDescent="0.25">
      <c r="A28" s="25">
        <v>26</v>
      </c>
      <c r="B28" s="25" t="s">
        <v>79</v>
      </c>
    </row>
    <row r="29" spans="1:2" x14ac:dyDescent="0.25">
      <c r="A29" s="25">
        <v>27</v>
      </c>
      <c r="B29" s="25" t="s">
        <v>80</v>
      </c>
    </row>
    <row r="30" spans="1:2" x14ac:dyDescent="0.25">
      <c r="A30" s="25">
        <v>28</v>
      </c>
      <c r="B30" s="25" t="s">
        <v>81</v>
      </c>
    </row>
    <row r="31" spans="1:2" x14ac:dyDescent="0.25">
      <c r="A31" s="25">
        <v>29</v>
      </c>
      <c r="B31" s="25" t="s">
        <v>82</v>
      </c>
    </row>
    <row r="32" spans="1:2" x14ac:dyDescent="0.25">
      <c r="A32" s="25">
        <v>30</v>
      </c>
      <c r="B32" s="25" t="s">
        <v>83</v>
      </c>
    </row>
    <row r="33" spans="1:2" x14ac:dyDescent="0.25">
      <c r="A33" s="25">
        <v>31</v>
      </c>
      <c r="B33" s="25" t="s">
        <v>84</v>
      </c>
    </row>
    <row r="34" spans="1:2" x14ac:dyDescent="0.25">
      <c r="A34" s="25">
        <v>32</v>
      </c>
      <c r="B34" s="25" t="s">
        <v>85</v>
      </c>
    </row>
    <row r="35" spans="1:2" x14ac:dyDescent="0.25">
      <c r="A35" s="25">
        <v>33</v>
      </c>
      <c r="B35" s="25" t="s">
        <v>86</v>
      </c>
    </row>
    <row r="36" spans="1:2" x14ac:dyDescent="0.25">
      <c r="A36" s="25">
        <v>34</v>
      </c>
      <c r="B36" s="25" t="s">
        <v>87</v>
      </c>
    </row>
    <row r="37" spans="1:2" x14ac:dyDescent="0.25">
      <c r="A37" s="25">
        <v>35</v>
      </c>
      <c r="B37" s="25" t="s">
        <v>88</v>
      </c>
    </row>
    <row r="38" spans="1:2" x14ac:dyDescent="0.25">
      <c r="A38" s="25">
        <v>36</v>
      </c>
      <c r="B38" s="25" t="s">
        <v>89</v>
      </c>
    </row>
    <row r="39" spans="1:2" x14ac:dyDescent="0.25">
      <c r="A39" s="25">
        <v>37</v>
      </c>
      <c r="B39" s="25" t="s">
        <v>90</v>
      </c>
    </row>
    <row r="40" spans="1:2" x14ac:dyDescent="0.25">
      <c r="A40" s="25">
        <v>38</v>
      </c>
      <c r="B40" s="25" t="s">
        <v>91</v>
      </c>
    </row>
    <row r="41" spans="1:2" x14ac:dyDescent="0.25">
      <c r="A41" s="25">
        <v>39</v>
      </c>
      <c r="B41" s="25" t="s">
        <v>92</v>
      </c>
    </row>
    <row r="42" spans="1:2" x14ac:dyDescent="0.25">
      <c r="A42" s="25">
        <v>40</v>
      </c>
      <c r="B42" s="25" t="s">
        <v>93</v>
      </c>
    </row>
    <row r="43" spans="1:2" x14ac:dyDescent="0.25">
      <c r="A43" s="25">
        <v>41</v>
      </c>
      <c r="B43" s="25" t="s">
        <v>94</v>
      </c>
    </row>
    <row r="44" spans="1:2" x14ac:dyDescent="0.25">
      <c r="A44" s="25">
        <v>42</v>
      </c>
      <c r="B44" s="25" t="s">
        <v>95</v>
      </c>
    </row>
    <row r="45" spans="1:2" x14ac:dyDescent="0.25">
      <c r="A45" s="25">
        <v>43</v>
      </c>
      <c r="B45" s="25" t="s">
        <v>96</v>
      </c>
    </row>
    <row r="46" spans="1:2" x14ac:dyDescent="0.25">
      <c r="A46" s="25">
        <v>44</v>
      </c>
      <c r="B46" s="25" t="s">
        <v>97</v>
      </c>
    </row>
    <row r="47" spans="1:2" x14ac:dyDescent="0.25">
      <c r="A47" s="25">
        <v>45</v>
      </c>
      <c r="B47" s="25" t="s">
        <v>98</v>
      </c>
    </row>
    <row r="48" spans="1:2" x14ac:dyDescent="0.25">
      <c r="A48" s="25">
        <v>46</v>
      </c>
      <c r="B48" s="25" t="s">
        <v>99</v>
      </c>
    </row>
    <row r="49" spans="1:2" x14ac:dyDescent="0.25">
      <c r="A49" s="25">
        <v>47</v>
      </c>
      <c r="B49" s="25" t="s">
        <v>100</v>
      </c>
    </row>
    <row r="50" spans="1:2" x14ac:dyDescent="0.25">
      <c r="A50" s="25">
        <v>48</v>
      </c>
      <c r="B50" s="25" t="s">
        <v>101</v>
      </c>
    </row>
    <row r="51" spans="1:2" x14ac:dyDescent="0.25">
      <c r="A51" s="25">
        <v>49</v>
      </c>
      <c r="B51" s="25" t="s">
        <v>102</v>
      </c>
    </row>
    <row r="52" spans="1:2" x14ac:dyDescent="0.25">
      <c r="A52" s="25">
        <v>50</v>
      </c>
      <c r="B52" s="25" t="s">
        <v>103</v>
      </c>
    </row>
    <row r="53" spans="1:2" x14ac:dyDescent="0.25">
      <c r="A53" s="25">
        <v>51</v>
      </c>
      <c r="B53" s="25" t="s">
        <v>104</v>
      </c>
    </row>
    <row r="54" spans="1:2" x14ac:dyDescent="0.25">
      <c r="A54" s="25">
        <v>52</v>
      </c>
      <c r="B54" s="25" t="s">
        <v>105</v>
      </c>
    </row>
    <row r="55" spans="1:2" x14ac:dyDescent="0.25">
      <c r="A55" s="25">
        <v>53</v>
      </c>
      <c r="B55" s="25" t="s">
        <v>106</v>
      </c>
    </row>
    <row r="56" spans="1:2" x14ac:dyDescent="0.25">
      <c r="A56" s="25">
        <v>54</v>
      </c>
      <c r="B56" s="25" t="s">
        <v>107</v>
      </c>
    </row>
    <row r="57" spans="1:2" x14ac:dyDescent="0.25">
      <c r="A57" s="25">
        <v>55</v>
      </c>
      <c r="B57" s="25" t="s">
        <v>108</v>
      </c>
    </row>
    <row r="58" spans="1:2" x14ac:dyDescent="0.25">
      <c r="A58" s="25">
        <v>56</v>
      </c>
      <c r="B58" s="25" t="s">
        <v>109</v>
      </c>
    </row>
    <row r="59" spans="1:2" x14ac:dyDescent="0.25">
      <c r="A59" s="25">
        <v>57</v>
      </c>
      <c r="B59" s="25" t="s">
        <v>110</v>
      </c>
    </row>
    <row r="60" spans="1:2" x14ac:dyDescent="0.25">
      <c r="A60" s="25">
        <v>58</v>
      </c>
      <c r="B60" s="25" t="s">
        <v>111</v>
      </c>
    </row>
    <row r="61" spans="1:2" x14ac:dyDescent="0.25">
      <c r="A61" s="25">
        <v>59</v>
      </c>
      <c r="B61" s="25" t="s">
        <v>112</v>
      </c>
    </row>
    <row r="62" spans="1:2" x14ac:dyDescent="0.25">
      <c r="A62" s="25">
        <v>60</v>
      </c>
      <c r="B62" s="25" t="s">
        <v>113</v>
      </c>
    </row>
    <row r="63" spans="1:2" x14ac:dyDescent="0.25">
      <c r="A63" s="25">
        <v>61</v>
      </c>
      <c r="B63" s="25" t="s">
        <v>114</v>
      </c>
    </row>
    <row r="64" spans="1:2" x14ac:dyDescent="0.25">
      <c r="A64" s="25">
        <v>62</v>
      </c>
      <c r="B64" s="25" t="s">
        <v>115</v>
      </c>
    </row>
    <row r="65" spans="1:2" x14ac:dyDescent="0.25">
      <c r="A65" s="25">
        <v>63</v>
      </c>
      <c r="B65" s="25" t="s">
        <v>116</v>
      </c>
    </row>
    <row r="66" spans="1:2" x14ac:dyDescent="0.25">
      <c r="A66" s="25">
        <v>64</v>
      </c>
      <c r="B66" s="25" t="s">
        <v>117</v>
      </c>
    </row>
    <row r="67" spans="1:2" x14ac:dyDescent="0.25">
      <c r="A67" s="25">
        <v>65</v>
      </c>
      <c r="B67" s="25" t="s">
        <v>118</v>
      </c>
    </row>
    <row r="68" spans="1:2" x14ac:dyDescent="0.25">
      <c r="A68" s="25">
        <v>66</v>
      </c>
      <c r="B68" s="25" t="s">
        <v>119</v>
      </c>
    </row>
    <row r="69" spans="1:2" x14ac:dyDescent="0.25">
      <c r="A69" s="25">
        <v>67</v>
      </c>
      <c r="B69" s="25" t="s">
        <v>120</v>
      </c>
    </row>
    <row r="70" spans="1:2" x14ac:dyDescent="0.25">
      <c r="A70" s="25">
        <v>68</v>
      </c>
      <c r="B70" s="25" t="s">
        <v>121</v>
      </c>
    </row>
    <row r="71" spans="1:2" x14ac:dyDescent="0.25">
      <c r="A71" s="25">
        <v>69</v>
      </c>
      <c r="B71" s="25" t="s">
        <v>122</v>
      </c>
    </row>
    <row r="72" spans="1:2" x14ac:dyDescent="0.25">
      <c r="A72" s="25">
        <v>70</v>
      </c>
      <c r="B72" s="25" t="s">
        <v>123</v>
      </c>
    </row>
    <row r="73" spans="1:2" x14ac:dyDescent="0.25">
      <c r="A73" s="25">
        <v>71</v>
      </c>
      <c r="B73" s="25" t="s">
        <v>124</v>
      </c>
    </row>
    <row r="74" spans="1:2" x14ac:dyDescent="0.25">
      <c r="A74" s="25">
        <v>72</v>
      </c>
      <c r="B74" s="25" t="s">
        <v>125</v>
      </c>
    </row>
    <row r="75" spans="1:2" x14ac:dyDescent="0.25">
      <c r="A75" s="25">
        <v>73</v>
      </c>
      <c r="B75" s="25" t="s">
        <v>126</v>
      </c>
    </row>
    <row r="76" spans="1:2" x14ac:dyDescent="0.25">
      <c r="A76" s="25">
        <v>74</v>
      </c>
      <c r="B76" s="25" t="s">
        <v>127</v>
      </c>
    </row>
    <row r="77" spans="1:2" x14ac:dyDescent="0.25">
      <c r="A77" s="25">
        <v>75</v>
      </c>
      <c r="B77" s="25" t="s">
        <v>128</v>
      </c>
    </row>
    <row r="78" spans="1:2" x14ac:dyDescent="0.25">
      <c r="A78" s="25">
        <v>76</v>
      </c>
      <c r="B78" s="25" t="s">
        <v>129</v>
      </c>
    </row>
    <row r="79" spans="1:2" x14ac:dyDescent="0.25">
      <c r="A79" s="25">
        <v>77</v>
      </c>
      <c r="B79" s="25" t="s">
        <v>130</v>
      </c>
    </row>
    <row r="80" spans="1:2" x14ac:dyDescent="0.25">
      <c r="A80" s="25">
        <v>78</v>
      </c>
      <c r="B80" s="25" t="s">
        <v>131</v>
      </c>
    </row>
    <row r="81" spans="1:2" x14ac:dyDescent="0.25">
      <c r="A81" s="25">
        <v>79</v>
      </c>
      <c r="B81" s="25" t="s">
        <v>132</v>
      </c>
    </row>
    <row r="82" spans="1:2" x14ac:dyDescent="0.25">
      <c r="A82" s="25">
        <v>80</v>
      </c>
      <c r="B82" s="25" t="s">
        <v>133</v>
      </c>
    </row>
    <row r="83" spans="1:2" x14ac:dyDescent="0.25">
      <c r="A83" s="25">
        <v>81</v>
      </c>
      <c r="B83" s="25" t="s">
        <v>134</v>
      </c>
    </row>
    <row r="84" spans="1:2" x14ac:dyDescent="0.25">
      <c r="A84" s="25">
        <v>82</v>
      </c>
      <c r="B84" s="25" t="s">
        <v>135</v>
      </c>
    </row>
    <row r="85" spans="1:2" x14ac:dyDescent="0.25">
      <c r="A85" s="25">
        <v>83</v>
      </c>
      <c r="B85" s="25" t="s">
        <v>136</v>
      </c>
    </row>
    <row r="86" spans="1:2" x14ac:dyDescent="0.25">
      <c r="A86" s="25">
        <v>84</v>
      </c>
      <c r="B86" s="25" t="s">
        <v>137</v>
      </c>
    </row>
    <row r="87" spans="1:2" x14ac:dyDescent="0.25">
      <c r="A87" s="25">
        <v>85</v>
      </c>
      <c r="B87" s="25" t="s">
        <v>138</v>
      </c>
    </row>
    <row r="88" spans="1:2" x14ac:dyDescent="0.25">
      <c r="A88" s="25">
        <v>86</v>
      </c>
      <c r="B88" s="25" t="s">
        <v>139</v>
      </c>
    </row>
    <row r="89" spans="1:2" x14ac:dyDescent="0.25">
      <c r="A89" s="25">
        <v>87</v>
      </c>
      <c r="B89" s="25" t="s">
        <v>140</v>
      </c>
    </row>
    <row r="90" spans="1:2" x14ac:dyDescent="0.25">
      <c r="A90" s="25">
        <v>88</v>
      </c>
      <c r="B90" s="25" t="s">
        <v>141</v>
      </c>
    </row>
    <row r="91" spans="1:2" x14ac:dyDescent="0.25">
      <c r="A91" s="25">
        <v>89</v>
      </c>
      <c r="B91" s="25" t="s">
        <v>142</v>
      </c>
    </row>
    <row r="92" spans="1:2" x14ac:dyDescent="0.25">
      <c r="A92" s="25">
        <v>90</v>
      </c>
      <c r="B92" s="25" t="s">
        <v>143</v>
      </c>
    </row>
    <row r="93" spans="1:2" x14ac:dyDescent="0.25">
      <c r="A93" s="25">
        <v>91</v>
      </c>
      <c r="B93" s="25" t="s">
        <v>144</v>
      </c>
    </row>
    <row r="94" spans="1:2" x14ac:dyDescent="0.25">
      <c r="A94" s="25">
        <v>92</v>
      </c>
      <c r="B94" s="25" t="s">
        <v>145</v>
      </c>
    </row>
    <row r="95" spans="1:2" x14ac:dyDescent="0.25">
      <c r="A95" s="25">
        <v>93</v>
      </c>
      <c r="B95" s="25" t="s">
        <v>146</v>
      </c>
    </row>
    <row r="96" spans="1:2" x14ac:dyDescent="0.25">
      <c r="A96" s="25">
        <v>94</v>
      </c>
      <c r="B96" s="25" t="s">
        <v>147</v>
      </c>
    </row>
    <row r="97" spans="1:2" x14ac:dyDescent="0.25">
      <c r="A97" s="25">
        <v>95</v>
      </c>
      <c r="B97" s="25" t="s">
        <v>148</v>
      </c>
    </row>
    <row r="98" spans="1:2" x14ac:dyDescent="0.25">
      <c r="A98" s="25">
        <v>96</v>
      </c>
      <c r="B98" s="25" t="s">
        <v>149</v>
      </c>
    </row>
    <row r="99" spans="1:2" x14ac:dyDescent="0.25">
      <c r="A99" s="25">
        <v>97</v>
      </c>
      <c r="B99" s="25" t="s">
        <v>150</v>
      </c>
    </row>
    <row r="100" spans="1:2" x14ac:dyDescent="0.25">
      <c r="A100" s="25">
        <v>98</v>
      </c>
      <c r="B100" s="25" t="s">
        <v>151</v>
      </c>
    </row>
    <row r="101" spans="1:2" x14ac:dyDescent="0.25">
      <c r="A101" s="25">
        <v>99</v>
      </c>
      <c r="B101" s="25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 127</vt:lpstr>
      <vt:lpstr>Words</vt:lpstr>
      <vt:lpstr>'Invoice 127'!Print_Area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Arnav Gupta</cp:lastModifiedBy>
  <cp:revision>0</cp:revision>
  <cp:lastPrinted>2026-10-03T10:49:25Z</cp:lastPrinted>
  <dcterms:created xsi:type="dcterms:W3CDTF">2026-10-03T10:25:36Z</dcterms:created>
  <dcterms:modified xsi:type="dcterms:W3CDTF">2026-10-03T10:53:40Z</dcterms:modified>
  <dc:language>en-US</dc:language>
</cp:coreProperties>
</file>